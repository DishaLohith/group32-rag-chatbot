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sults" sheetId="1" state="visible" r:id="rId1"/>
  </sheets>
  <definedNames>
    <definedName name="_xlnm._FilterDatabase" localSheetId="0" hidden="1">'GST results'!$A$1:$K$15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36" customWidth="1" min="6" max="6"/>
    <col width="36" customWidth="1" min="7" max="7"/>
    <col width="18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Q</t>
        </is>
      </c>
      <c r="B1" s="1" t="inlineStr">
        <is>
          <t>Expected</t>
        </is>
      </c>
      <c r="C1" s="1" t="inlineStr">
        <is>
          <t>Baseline</t>
        </is>
      </c>
      <c r="D1" s="1" t="inlineStr">
        <is>
          <t>Walert</t>
        </is>
      </c>
      <c r="E1" s="1" t="inlineStr">
        <is>
          <t>Ours</t>
        </is>
      </c>
      <c r="F1" s="1" t="inlineStr">
        <is>
          <t>Gold passages</t>
        </is>
      </c>
      <c r="G1" s="1" t="inlineStr">
        <is>
          <t>Ours evidence</t>
        </is>
      </c>
      <c r="H1" s="1" t="inlineStr">
        <is>
          <t>Baseline correct</t>
        </is>
      </c>
      <c r="I1" s="1" t="inlineStr">
        <is>
          <t>Walert correct</t>
        </is>
      </c>
      <c r="J1" s="1" t="inlineStr">
        <is>
          <t>Ours correct</t>
        </is>
      </c>
      <c r="K1" s="1" t="inlineStr">
        <is>
          <t>Attribution</t>
        </is>
      </c>
    </row>
    <row r="2">
      <c r="A2" t="inlineStr">
        <is>
          <t>GST01</t>
        </is>
      </c>
      <c r="B2" t="inlineStr">
        <is>
          <t>GST-free</t>
        </is>
      </c>
      <c r="C2" t="inlineStr">
        <is>
          <t>GST-free</t>
        </is>
      </c>
      <c r="D2" t="inlineStr">
        <is>
          <t>GST-free</t>
        </is>
      </c>
      <c r="E2" t="inlineStr">
        <is>
          <t>GST-free</t>
        </is>
      </c>
      <c r="F2" t="inlineStr">
        <is>
          <t>DFL_939</t>
        </is>
      </c>
      <c r="G2" t="inlineStr">
        <is>
          <t>DFL_114;DFL_1344;DFL_939</t>
        </is>
      </c>
      <c r="H2">
        <f>IF(C2=B2,1,0)</f>
        <v/>
      </c>
      <c r="I2">
        <f>IF(D2=B2,1,0)</f>
        <v/>
      </c>
      <c r="J2">
        <f>IF(E2=B2,1,0)</f>
        <v/>
      </c>
      <c r="K2" t="n">
        <v>1</v>
      </c>
    </row>
    <row r="3">
      <c r="A3" t="inlineStr">
        <is>
          <t>GST02</t>
        </is>
      </c>
      <c r="B3" t="inlineStr">
        <is>
          <t>Taxable</t>
        </is>
      </c>
      <c r="C3" t="inlineStr">
        <is>
          <t>Taxable</t>
        </is>
      </c>
      <c r="D3" t="inlineStr">
        <is>
          <t>GST-free</t>
        </is>
      </c>
      <c r="E3" t="inlineStr">
        <is>
          <t>Taxable</t>
        </is>
      </c>
      <c r="F3" t="inlineStr">
        <is>
          <t>DFL_655;ACT_38_3</t>
        </is>
      </c>
      <c r="G3" t="inlineStr">
        <is>
          <t>DFL_1631;DFL_1306;DFL_82</t>
        </is>
      </c>
      <c r="H3">
        <f>IF(C3=B3,1,0)</f>
        <v/>
      </c>
      <c r="I3">
        <f>IF(D3=B3,1,0)</f>
        <v/>
      </c>
      <c r="J3">
        <f>IF(E3=B3,1,0)</f>
        <v/>
      </c>
      <c r="K3" t="n">
        <v>0</v>
      </c>
    </row>
    <row r="4">
      <c r="A4" t="inlineStr">
        <is>
          <t>GST03</t>
        </is>
      </c>
      <c r="B4" t="inlineStr">
        <is>
          <t>GST-free</t>
        </is>
      </c>
      <c r="C4" t="inlineStr">
        <is>
          <t>GST-free</t>
        </is>
      </c>
      <c r="D4" t="inlineStr">
        <is>
          <t>GST-free</t>
        </is>
      </c>
      <c r="E4" t="inlineStr">
        <is>
          <t>GST-free</t>
        </is>
      </c>
      <c r="F4" t="inlineStr">
        <is>
          <t>ACT_SCH2_1</t>
        </is>
      </c>
      <c r="G4" t="inlineStr">
        <is>
          <t>DFL_1586</t>
        </is>
      </c>
      <c r="H4">
        <f>IF(C4=B4,1,0)</f>
        <v/>
      </c>
      <c r="I4">
        <f>IF(D4=B4,1,0)</f>
        <v/>
      </c>
      <c r="J4">
        <f>IF(E4=B4,1,0)</f>
        <v/>
      </c>
      <c r="K4" t="n">
        <v>0</v>
      </c>
    </row>
    <row r="5">
      <c r="A5" t="inlineStr">
        <is>
          <t>GST04</t>
        </is>
      </c>
      <c r="B5" t="inlineStr">
        <is>
          <t>Taxable</t>
        </is>
      </c>
      <c r="C5" t="inlineStr">
        <is>
          <t>Taxable</t>
        </is>
      </c>
      <c r="D5" t="inlineStr">
        <is>
          <t>Abstain</t>
        </is>
      </c>
      <c r="E5" t="inlineStr">
        <is>
          <t>Taxable</t>
        </is>
      </c>
      <c r="F5" t="inlineStr">
        <is>
          <t>DFL_333;ACT_SCH2_2</t>
        </is>
      </c>
      <c r="G5" t="inlineStr">
        <is>
          <t>DFL_333;DFL_335;DFL_196</t>
        </is>
      </c>
      <c r="H5">
        <f>IF(C5=B5,1,0)</f>
        <v/>
      </c>
      <c r="I5">
        <f>IF(D5=B5,1,0)</f>
        <v/>
      </c>
      <c r="J5">
        <f>IF(E5=B5,1,0)</f>
        <v/>
      </c>
      <c r="K5" t="n">
        <v>1</v>
      </c>
    </row>
    <row r="6">
      <c r="A6" t="inlineStr">
        <is>
          <t>GST05</t>
        </is>
      </c>
      <c r="B6" t="inlineStr">
        <is>
          <t>GST-free</t>
        </is>
      </c>
      <c r="C6" t="inlineStr">
        <is>
          <t>GST-free</t>
        </is>
      </c>
      <c r="D6" t="inlineStr">
        <is>
          <t>GST-free</t>
        </is>
      </c>
      <c r="E6" t="inlineStr">
        <is>
          <t>GST-free</t>
        </is>
      </c>
      <c r="F6" t="inlineStr">
        <is>
          <t>DFL_184</t>
        </is>
      </c>
      <c r="G6" t="inlineStr">
        <is>
          <t>DFL_184;DFL_182;DFL_1535</t>
        </is>
      </c>
      <c r="H6">
        <f>IF(C6=B6,1,0)</f>
        <v/>
      </c>
      <c r="I6">
        <f>IF(D6=B6,1,0)</f>
        <v/>
      </c>
      <c r="J6">
        <f>IF(E6=B6,1,0)</f>
        <v/>
      </c>
      <c r="K6" t="n">
        <v>1</v>
      </c>
    </row>
    <row r="7">
      <c r="A7" t="inlineStr">
        <is>
          <t>GST06</t>
        </is>
      </c>
      <c r="B7" t="inlineStr">
        <is>
          <t>Taxable</t>
        </is>
      </c>
      <c r="C7" t="inlineStr">
        <is>
          <t>Taxable</t>
        </is>
      </c>
      <c r="D7" t="inlineStr">
        <is>
          <t>GST-free</t>
        </is>
      </c>
      <c r="E7" t="inlineStr">
        <is>
          <t>Taxable</t>
        </is>
      </c>
      <c r="F7" t="inlineStr">
        <is>
          <t>DFL_180;DFL_411;ACT_38_3</t>
        </is>
      </c>
      <c r="G7" t="inlineStr">
        <is>
          <t>DFL_180;DFL_700;DFL_187</t>
        </is>
      </c>
      <c r="H7">
        <f>IF(C7=B7,1,0)</f>
        <v/>
      </c>
      <c r="I7">
        <f>IF(D7=B7,1,0)</f>
        <v/>
      </c>
      <c r="J7">
        <f>IF(E7=B7,1,0)</f>
        <v/>
      </c>
      <c r="K7" t="n">
        <v>1</v>
      </c>
    </row>
    <row r="8">
      <c r="A8" t="inlineStr">
        <is>
          <t>GST07</t>
        </is>
      </c>
      <c r="B8" t="inlineStr">
        <is>
          <t>Taxable</t>
        </is>
      </c>
      <c r="C8" t="inlineStr">
        <is>
          <t>Taxable</t>
        </is>
      </c>
      <c r="D8" t="inlineStr">
        <is>
          <t>GST-free</t>
        </is>
      </c>
      <c r="E8" t="inlineStr">
        <is>
          <t>Taxable</t>
        </is>
      </c>
      <c r="F8" t="inlineStr">
        <is>
          <t>DFL_196;ACT_SCH1_8</t>
        </is>
      </c>
      <c r="G8" t="inlineStr">
        <is>
          <t>DFL_196;DFL_1047;DFL_1042</t>
        </is>
      </c>
      <c r="H8">
        <f>IF(C8=B8,1,0)</f>
        <v/>
      </c>
      <c r="I8">
        <f>IF(D8=B8,1,0)</f>
        <v/>
      </c>
      <c r="J8">
        <f>IF(E8=B8,1,0)</f>
        <v/>
      </c>
      <c r="K8" t="n">
        <v>1</v>
      </c>
    </row>
    <row r="9">
      <c r="A9" t="inlineStr">
        <is>
          <t>GST08</t>
        </is>
      </c>
      <c r="B9" t="inlineStr">
        <is>
          <t>Taxable</t>
        </is>
      </c>
      <c r="C9" t="inlineStr">
        <is>
          <t>Taxable</t>
        </is>
      </c>
      <c r="D9" t="inlineStr">
        <is>
          <t>GST-free</t>
        </is>
      </c>
      <c r="E9" t="inlineStr">
        <is>
          <t>Taxable</t>
        </is>
      </c>
      <c r="F9" t="inlineStr">
        <is>
          <t>DFL_733</t>
        </is>
      </c>
      <c r="G9" t="inlineStr">
        <is>
          <t>DFL_733;DFL_208;DFL_525</t>
        </is>
      </c>
      <c r="H9">
        <f>IF(C9=B9,1,0)</f>
        <v/>
      </c>
      <c r="I9">
        <f>IF(D9=B9,1,0)</f>
        <v/>
      </c>
      <c r="J9">
        <f>IF(E9=B9,1,0)</f>
        <v/>
      </c>
      <c r="K9" t="n">
        <v>1</v>
      </c>
    </row>
    <row r="10">
      <c r="A10" t="inlineStr">
        <is>
          <t>GST09</t>
        </is>
      </c>
      <c r="B10" t="inlineStr">
        <is>
          <t>GST-free</t>
        </is>
      </c>
      <c r="C10" t="inlineStr">
        <is>
          <t>GST-free</t>
        </is>
      </c>
      <c r="D10" t="inlineStr">
        <is>
          <t>GST-free</t>
        </is>
      </c>
      <c r="E10" t="inlineStr">
        <is>
          <t>GST-free</t>
        </is>
      </c>
      <c r="F10" t="inlineStr">
        <is>
          <t>DFL_1244;ACT_SCH2_12</t>
        </is>
      </c>
      <c r="G10" t="inlineStr">
        <is>
          <t>DFL_1244;DFL_817;DFL_526</t>
        </is>
      </c>
      <c r="H10">
        <f>IF(C10=B10,1,0)</f>
        <v/>
      </c>
      <c r="I10">
        <f>IF(D10=B10,1,0)</f>
        <v/>
      </c>
      <c r="J10">
        <f>IF(E10=B10,1,0)</f>
        <v/>
      </c>
      <c r="K10" t="n">
        <v>1</v>
      </c>
    </row>
    <row r="11">
      <c r="A11" t="inlineStr">
        <is>
          <t>GST10</t>
        </is>
      </c>
      <c r="B11" t="inlineStr">
        <is>
          <t>GST-free</t>
        </is>
      </c>
      <c r="C11" t="inlineStr">
        <is>
          <t>GST-free</t>
        </is>
      </c>
      <c r="D11" t="inlineStr">
        <is>
          <t>GST-free</t>
        </is>
      </c>
      <c r="E11" t="inlineStr">
        <is>
          <t>GST-free</t>
        </is>
      </c>
      <c r="F11" t="inlineStr">
        <is>
          <t>DFL_810;DFL_536</t>
        </is>
      </c>
      <c r="G11" t="inlineStr">
        <is>
          <t>DFL_810;DFL_871;DFL_1390</t>
        </is>
      </c>
      <c r="H11">
        <f>IF(C11=B11,1,0)</f>
        <v/>
      </c>
      <c r="I11">
        <f>IF(D11=B11,1,0)</f>
        <v/>
      </c>
      <c r="J11">
        <f>IF(E11=B11,1,0)</f>
        <v/>
      </c>
      <c r="K11" t="n">
        <v>1</v>
      </c>
    </row>
    <row r="12">
      <c r="A12" t="inlineStr">
        <is>
          <t>GST11</t>
        </is>
      </c>
      <c r="B12" t="inlineStr">
        <is>
          <t>Taxable</t>
        </is>
      </c>
      <c r="C12" t="inlineStr">
        <is>
          <t>Taxable</t>
        </is>
      </c>
      <c r="D12" t="inlineStr">
        <is>
          <t>Abstain</t>
        </is>
      </c>
      <c r="E12" t="inlineStr">
        <is>
          <t>Taxable</t>
        </is>
      </c>
      <c r="F12" t="inlineStr">
        <is>
          <t>DFL_537;DFL_669;ACT_SCH1_16</t>
        </is>
      </c>
      <c r="G12" t="inlineStr">
        <is>
          <t>DFL_581;DFL_669</t>
        </is>
      </c>
      <c r="H12">
        <f>IF(C12=B12,1,0)</f>
        <v/>
      </c>
      <c r="I12">
        <f>IF(D12=B12,1,0)</f>
        <v/>
      </c>
      <c r="J12">
        <f>IF(E12=B12,1,0)</f>
        <v/>
      </c>
      <c r="K12" t="n">
        <v>1</v>
      </c>
    </row>
    <row r="13">
      <c r="A13" t="inlineStr">
        <is>
          <t>GST12</t>
        </is>
      </c>
      <c r="B13" t="inlineStr">
        <is>
          <t>GST-free</t>
        </is>
      </c>
      <c r="C13" t="inlineStr">
        <is>
          <t>Taxable</t>
        </is>
      </c>
      <c r="D13" t="inlineStr">
        <is>
          <t>GST-free</t>
        </is>
      </c>
      <c r="E13" t="inlineStr">
        <is>
          <t>GST-free</t>
        </is>
      </c>
      <c r="F13" t="inlineStr">
        <is>
          <t>DFL_528;ACT_SCH2_14</t>
        </is>
      </c>
      <c r="G13" t="inlineStr">
        <is>
          <t>DFL_528;DFL_836;DFL_526</t>
        </is>
      </c>
      <c r="H13">
        <f>IF(C13=B13,1,0)</f>
        <v/>
      </c>
      <c r="I13">
        <f>IF(D13=B13,1,0)</f>
        <v/>
      </c>
      <c r="J13">
        <f>IF(E13=B13,1,0)</f>
        <v/>
      </c>
      <c r="K13" t="n">
        <v>1</v>
      </c>
    </row>
    <row r="14">
      <c r="A14" t="inlineStr">
        <is>
          <t>GST13</t>
        </is>
      </c>
      <c r="B14" t="inlineStr">
        <is>
          <t>Taxable</t>
        </is>
      </c>
      <c r="C14" t="inlineStr">
        <is>
          <t>Taxable</t>
        </is>
      </c>
      <c r="D14" t="inlineStr">
        <is>
          <t>GST-free</t>
        </is>
      </c>
      <c r="E14" t="inlineStr">
        <is>
          <t>Abstain</t>
        </is>
      </c>
      <c r="F14" t="inlineStr">
        <is>
          <t>DFL_971</t>
        </is>
      </c>
      <c r="G14" t="inlineStr">
        <is>
          <t>DFL_971;DFL_1455;DFL_208</t>
        </is>
      </c>
      <c r="H14">
        <f>IF(C14=B14,1,0)</f>
        <v/>
      </c>
      <c r="I14">
        <f>IF(D14=B14,1,0)</f>
        <v/>
      </c>
      <c r="J14">
        <f>IF(E14=B14,1,0)</f>
        <v/>
      </c>
      <c r="K14" t="n">
        <v>1</v>
      </c>
    </row>
    <row r="15">
      <c r="A15" t="inlineStr">
        <is>
          <t>GST14</t>
        </is>
      </c>
      <c r="B15" t="inlineStr">
        <is>
          <t>GST-free</t>
        </is>
      </c>
      <c r="C15" t="inlineStr">
        <is>
          <t>Abstain</t>
        </is>
      </c>
      <c r="D15" t="inlineStr">
        <is>
          <t>GST-free</t>
        </is>
      </c>
      <c r="E15" t="inlineStr">
        <is>
          <t>GST-free</t>
        </is>
      </c>
      <c r="F15" t="inlineStr">
        <is>
          <t>DFL_656</t>
        </is>
      </c>
      <c r="G15" t="inlineStr">
        <is>
          <t>DFL_656;DFL_256;DFL_1594</t>
        </is>
      </c>
      <c r="H15">
        <f>IF(C15=B15,1,0)</f>
        <v/>
      </c>
      <c r="I15">
        <f>IF(D15=B15,1,0)</f>
        <v/>
      </c>
      <c r="J15">
        <f>IF(E15=B15,1,0)</f>
        <v/>
      </c>
      <c r="K15" t="n">
        <v>1</v>
      </c>
    </row>
    <row r="17">
      <c r="H17" s="2">
        <f>SUM(H2:H14)/13</f>
        <v/>
      </c>
      <c r="I17" s="2">
        <f>SUM(I2:I14)/13</f>
        <v/>
      </c>
      <c r="J17" s="2">
        <f>SUM(J2:J14)/13</f>
        <v/>
      </c>
      <c r="K17" s="2">
        <f>SUM(K2:K14)/13</f>
        <v/>
      </c>
    </row>
    <row r="19">
      <c r="A19" t="inlineStr">
        <is>
          <t>Macro-F1 (GST01-GST13)</t>
        </is>
      </c>
    </row>
    <row r="20">
      <c r="A20" s="3" t="inlineStr">
        <is>
          <t>System</t>
        </is>
      </c>
      <c r="B20" s="3" t="inlineStr">
        <is>
          <t>GST-free TP</t>
        </is>
      </c>
      <c r="C20" s="3" t="inlineStr">
        <is>
          <t>GST-free FP</t>
        </is>
      </c>
      <c r="D20" s="3" t="inlineStr">
        <is>
          <t>GST-free FN</t>
        </is>
      </c>
      <c r="E20" s="3" t="inlineStr">
        <is>
          <t>GST-free F1</t>
        </is>
      </c>
      <c r="F20" s="3" t="inlineStr">
        <is>
          <t>Taxable TP</t>
        </is>
      </c>
      <c r="G20" s="3" t="inlineStr">
        <is>
          <t>Taxable FP</t>
        </is>
      </c>
      <c r="H20" s="3" t="inlineStr">
        <is>
          <t>Taxable FN</t>
        </is>
      </c>
      <c r="I20" s="3" t="inlineStr">
        <is>
          <t>Taxable F1</t>
        </is>
      </c>
      <c r="J20" s="3" t="inlineStr">
        <is>
          <t>Macro-F1</t>
        </is>
      </c>
      <c r="K20" s="3" t="n"/>
    </row>
    <row r="21">
      <c r="A21" t="inlineStr">
        <is>
          <t>Baseline</t>
        </is>
      </c>
      <c r="B21" t="n">
        <v>5</v>
      </c>
      <c r="C21" t="n">
        <v>0</v>
      </c>
      <c r="D21" t="n">
        <v>1</v>
      </c>
      <c r="E21" s="2">
        <f>2*B21/(2*B21+C21+D21)</f>
        <v/>
      </c>
      <c r="F21" t="n">
        <v>7</v>
      </c>
      <c r="G21" t="n">
        <v>1</v>
      </c>
      <c r="H21" t="n">
        <v>0</v>
      </c>
      <c r="I21" s="2">
        <f>IFERROR(2*F21/(2*F21+G21+H21),0)</f>
        <v/>
      </c>
      <c r="J21" s="2">
        <f>(E21+I21)/2</f>
        <v/>
      </c>
    </row>
    <row r="22">
      <c r="A22" t="inlineStr">
        <is>
          <t>Walert</t>
        </is>
      </c>
      <c r="B22" t="n">
        <v>6</v>
      </c>
      <c r="C22" t="n">
        <v>5</v>
      </c>
      <c r="D22" t="n">
        <v>0</v>
      </c>
      <c r="E22" s="2">
        <f>2*B22/(2*B22+C22+D22)</f>
        <v/>
      </c>
      <c r="F22" t="n">
        <v>0</v>
      </c>
      <c r="G22" t="n">
        <v>0</v>
      </c>
      <c r="H22" t="n">
        <v>7</v>
      </c>
      <c r="I22" s="2">
        <f>IFERROR(2*F22/(2*F22+G22+H22),0)</f>
        <v/>
      </c>
      <c r="J22" s="2">
        <f>(E22+I22)/2</f>
        <v/>
      </c>
    </row>
    <row r="23">
      <c r="A23" t="inlineStr">
        <is>
          <t>Ours</t>
        </is>
      </c>
      <c r="B23" t="n">
        <v>6</v>
      </c>
      <c r="C23" t="n">
        <v>0</v>
      </c>
      <c r="D23" t="n">
        <v>0</v>
      </c>
      <c r="E23" s="2">
        <f>2*B23/(2*B23+C23+D23)</f>
        <v/>
      </c>
      <c r="F23" t="n">
        <v>6</v>
      </c>
      <c r="G23" t="n">
        <v>0</v>
      </c>
      <c r="H23" t="n">
        <v>1</v>
      </c>
      <c r="I23" s="2">
        <f>IFERROR(2*F23/(2*F23+G23+H23),0)</f>
        <v/>
      </c>
      <c r="J23" s="2">
        <f>(E23+I23)/2</f>
        <v/>
      </c>
    </row>
    <row r="25">
      <c r="A25" t="inlineStr">
        <is>
          <t>Baseline and Walert attribution</t>
        </is>
      </c>
      <c r="B25" t="n">
        <v>0</v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2026-10-24T02:13:27Z</dcterms:created>
  <dcterms:modified xsi:type="dcterms:W3CDTF">2026-10-24T02:13:27Z</dcterms:modified>
</cp:coreProperties>
</file>